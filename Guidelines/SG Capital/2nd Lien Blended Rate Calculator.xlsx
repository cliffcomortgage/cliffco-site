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iffcomortgage-my.sharepoint.com/personal/jrenter_cliffcomortgage_com/Documents/CLIFFCO DESKTOP/"/>
    </mc:Choice>
  </mc:AlternateContent>
  <xr:revisionPtr revIDLastSave="0" documentId="8_{A21513CC-A125-49E3-B14A-014EAC52E7B0}" xr6:coauthVersionLast="47" xr6:coauthVersionMax="47" xr10:uidLastSave="{00000000-0000-0000-0000-000000000000}"/>
  <bookViews>
    <workbookView xWindow="5010" yWindow="900" windowWidth="26340" windowHeight="14085" xr2:uid="{2C3BFAB7-354A-4C93-93E3-6AEA40C3D8F3}"/>
  </bookViews>
  <sheets>
    <sheet name="Blended Rat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B10" i="3"/>
  <c r="H12" i="3"/>
  <c r="E14" i="3"/>
  <c r="E18" i="3" s="1"/>
  <c r="E8" i="3"/>
  <c r="E10" i="3" s="1"/>
  <c r="B15" i="3"/>
  <c r="B19" i="3" s="1"/>
  <c r="H8" i="3" l="1"/>
  <c r="H10" i="3" s="1"/>
  <c r="H11" i="3"/>
</calcChain>
</file>

<file path=xl/sharedStrings.xml><?xml version="1.0" encoding="utf-8"?>
<sst xmlns="http://schemas.openxmlformats.org/spreadsheetml/2006/main" count="34" uniqueCount="22">
  <si>
    <t>SECOND LIEN         BLENDED RATE CALCULATOR</t>
  </si>
  <si>
    <t>First Lien</t>
  </si>
  <si>
    <t>Second Lien</t>
  </si>
  <si>
    <t>Blended Rate</t>
  </si>
  <si>
    <t>Property Value</t>
  </si>
  <si>
    <t>Loan Amount</t>
  </si>
  <si>
    <t>Total Loan Amount</t>
  </si>
  <si>
    <t xml:space="preserve"> </t>
  </si>
  <si>
    <t>LTV</t>
  </si>
  <si>
    <t>CLTV</t>
  </si>
  <si>
    <t>Interest Rate</t>
  </si>
  <si>
    <t>Total Payment</t>
  </si>
  <si>
    <t>Term</t>
  </si>
  <si>
    <t>30 Year</t>
  </si>
  <si>
    <t>10 Year</t>
  </si>
  <si>
    <t>Interest Only (Y/N)</t>
  </si>
  <si>
    <t>No</t>
  </si>
  <si>
    <t>Monthly PI Payment (P for IO loans)</t>
  </si>
  <si>
    <t>Monthly Taxes</t>
  </si>
  <si>
    <t>Monthly Insurance</t>
  </si>
  <si>
    <t>Monthly HOA</t>
  </si>
  <si>
    <t>Monthly PITIA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</si>
</sst>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%"/>
    <numFmt numFmtId="165" formatCode="0.00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1" fillId="5" borderId="0" applyNumberFormat="0" applyBorder="0" applyAlignment="0" applyProtection="0"/>
  </cellStyleXfs>
  <cellXfs count="24">
    <xf numFmtId="0" fontId="0" fillId="0" borderId="0" xfId="0"/>
    <xf numFmtId="44" fontId="3" fillId="3" borderId="10" xfId="2" applyNumberFormat="1" applyBorder="1" applyProtection="1">
      <protection locked="0"/>
    </xf>
    <xf numFmtId="164" fontId="3" fillId="3" borderId="10" xfId="2" applyNumberFormat="1" applyBorder="1" applyProtection="1">
      <protection locked="0"/>
    </xf>
    <xf numFmtId="0" fontId="3" fillId="3" borderId="10" xfId="2" applyBorder="1" applyProtection="1">
      <protection locked="0"/>
    </xf>
    <xf numFmtId="164" fontId="4" fillId="4" borderId="8" xfId="3" applyNumberFormat="1" applyBorder="1" applyProtection="1"/>
    <xf numFmtId="44" fontId="4" fillId="4" borderId="8" xfId="3" applyNumberFormat="1" applyBorder="1" applyProtection="1"/>
    <xf numFmtId="44" fontId="4" fillId="4" borderId="9" xfId="3" applyNumberFormat="1" applyBorder="1" applyProtection="1"/>
    <xf numFmtId="44" fontId="9" fillId="4" borderId="8" xfId="3" applyNumberFormat="1" applyFont="1" applyBorder="1" applyProtection="1"/>
    <xf numFmtId="164" fontId="9" fillId="4" borderId="8" xfId="3" applyNumberFormat="1" applyFont="1" applyBorder="1" applyProtection="1"/>
    <xf numFmtId="165" fontId="9" fillId="4" borderId="9" xfId="3" applyNumberFormat="1" applyFont="1" applyBorder="1" applyProtection="1"/>
    <xf numFmtId="0" fontId="5" fillId="5" borderId="3" xfId="4" applyFont="1" applyBorder="1" applyAlignment="1" applyProtection="1">
      <alignment horizontal="centerContinuous"/>
    </xf>
    <xf numFmtId="0" fontId="5" fillId="5" borderId="4" xfId="4" applyFont="1" applyBorder="1" applyAlignment="1" applyProtection="1">
      <alignment horizontal="centerContinuous"/>
    </xf>
    <xf numFmtId="0" fontId="7" fillId="5" borderId="3" xfId="4" applyFont="1" applyBorder="1" applyAlignment="1" applyProtection="1">
      <alignment horizontal="centerContinuous"/>
    </xf>
    <xf numFmtId="0" fontId="7" fillId="5" borderId="4" xfId="4" applyFont="1" applyBorder="1" applyAlignment="1" applyProtection="1">
      <alignment horizontal="centerContinuous"/>
    </xf>
    <xf numFmtId="0" fontId="0" fillId="0" borderId="5" xfId="0" applyBorder="1"/>
    <xf numFmtId="0" fontId="6" fillId="0" borderId="5" xfId="0" applyFont="1" applyBorder="1"/>
    <xf numFmtId="0" fontId="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0" xfId="1" applyFill="1" applyProtection="1"/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5">
    <cellStyle name="20% - Accent1" xfId="4" builtinId="30"/>
    <cellStyle name="Bad" xfId="1" builtinId="27"/>
    <cellStyle name="Input" xfId="2" builtinId="20"/>
    <cellStyle name="Normal" xfId="0" builtinId="0"/>
    <cellStyle name="Output" xfId="3" builtinId="21"/>
  </cellStyles>
  <dxfs count="0"/>
  <tableStyles count="0" defaultTableStyle="TableStyleMedium2" defaultPivotStyle="PivotStyleLight16"/>
  <colors>
    <mruColors>
      <color rgb="FF9C0006"/>
      <color rgb="FFFFC7CE"/>
      <color rgb="FFFFEB9C"/>
      <color rgb="FF9C5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38100</xdr:rowOff>
    </xdr:from>
    <xdr:to>
      <xdr:col>2</xdr:col>
      <xdr:colOff>460351</xdr:colOff>
      <xdr:row>5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D9E516-8926-A651-0751-97B0950CE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8100"/>
          <a:ext cx="3917926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549A-4211-42EC-92E9-AE5FA95C4081}">
  <dimension ref="A1:K21"/>
  <sheetViews>
    <sheetView tabSelected="1" zoomScaleNormal="100" workbookViewId="0">
      <selection activeCell="E16" sqref="E16"/>
    </sheetView>
  </sheetViews>
  <sheetFormatPr defaultRowHeight="15"/>
  <cols>
    <col min="1" max="1" width="33.140625" bestFit="1" customWidth="1"/>
    <col min="2" max="2" width="20.28515625" bestFit="1" customWidth="1"/>
    <col min="4" max="4" width="33.140625" bestFit="1" customWidth="1"/>
    <col min="5" max="5" width="12.5703125" bestFit="1" customWidth="1"/>
    <col min="7" max="7" width="22.42578125" bestFit="1" customWidth="1"/>
    <col min="8" max="8" width="17.5703125" bestFit="1" customWidth="1"/>
    <col min="10" max="10" width="16.28515625" bestFit="1" customWidth="1"/>
  </cols>
  <sheetData>
    <row r="1" spans="1:11">
      <c r="A1" s="20"/>
      <c r="B1" s="20"/>
      <c r="C1" s="20"/>
      <c r="D1" s="21" t="s">
        <v>0</v>
      </c>
      <c r="E1" s="22"/>
    </row>
    <row r="2" spans="1:11">
      <c r="A2" s="20"/>
      <c r="B2" s="20"/>
      <c r="C2" s="20"/>
      <c r="D2" s="22"/>
      <c r="E2" s="22"/>
    </row>
    <row r="3" spans="1:11">
      <c r="A3" s="20"/>
      <c r="B3" s="20"/>
      <c r="C3" s="20"/>
      <c r="D3" s="22"/>
      <c r="E3" s="22"/>
    </row>
    <row r="4" spans="1:11">
      <c r="A4" s="20"/>
      <c r="B4" s="20"/>
      <c r="C4" s="20"/>
      <c r="D4" s="22"/>
      <c r="E4" s="22"/>
    </row>
    <row r="5" spans="1:11">
      <c r="A5" s="20"/>
      <c r="B5" s="20"/>
      <c r="C5" s="20"/>
      <c r="D5" s="22"/>
      <c r="E5" s="22"/>
    </row>
    <row r="6" spans="1:11" ht="15.75" thickBot="1">
      <c r="A6" s="20"/>
      <c r="B6" s="20"/>
      <c r="C6" s="20"/>
      <c r="D6" s="23"/>
      <c r="E6" s="23"/>
    </row>
    <row r="7" spans="1:11" ht="18.75">
      <c r="A7" s="10" t="s">
        <v>1</v>
      </c>
      <c r="B7" s="11"/>
      <c r="D7" s="10" t="s">
        <v>2</v>
      </c>
      <c r="E7" s="11"/>
      <c r="G7" s="12" t="s">
        <v>3</v>
      </c>
      <c r="H7" s="13"/>
    </row>
    <row r="8" spans="1:11" ht="18.75">
      <c r="A8" s="14" t="s">
        <v>4</v>
      </c>
      <c r="B8" s="1">
        <v>600000</v>
      </c>
      <c r="D8" s="14" t="s">
        <v>4</v>
      </c>
      <c r="E8" s="5">
        <f>B8</f>
        <v>600000</v>
      </c>
      <c r="G8" s="15" t="s">
        <v>4</v>
      </c>
      <c r="H8" s="7">
        <f>E8</f>
        <v>600000</v>
      </c>
    </row>
    <row r="9" spans="1:11" ht="18.75">
      <c r="A9" s="14" t="s">
        <v>5</v>
      </c>
      <c r="B9" s="1">
        <v>350000</v>
      </c>
      <c r="D9" s="14" t="s">
        <v>5</v>
      </c>
      <c r="E9" s="1">
        <v>50000</v>
      </c>
      <c r="G9" s="15" t="s">
        <v>6</v>
      </c>
      <c r="H9" s="7">
        <f>SUM(B9,E9)</f>
        <v>400000</v>
      </c>
      <c r="K9" t="s">
        <v>7</v>
      </c>
    </row>
    <row r="10" spans="1:11" ht="18.75">
      <c r="A10" s="14" t="s">
        <v>8</v>
      </c>
      <c r="B10" s="4">
        <f>B9/B8</f>
        <v>0.58333333333333337</v>
      </c>
      <c r="D10" s="14" t="s">
        <v>8</v>
      </c>
      <c r="E10" s="4">
        <f>E9/E8</f>
        <v>8.3333333333333329E-2</v>
      </c>
      <c r="G10" s="15" t="s">
        <v>9</v>
      </c>
      <c r="H10" s="8">
        <f>H9/H8</f>
        <v>0.66666666666666663</v>
      </c>
    </row>
    <row r="11" spans="1:11" ht="18.75">
      <c r="A11" s="14" t="s">
        <v>10</v>
      </c>
      <c r="B11" s="2">
        <v>0.09</v>
      </c>
      <c r="D11" s="14" t="s">
        <v>10</v>
      </c>
      <c r="E11" s="2">
        <v>0.12</v>
      </c>
      <c r="G11" s="15" t="s">
        <v>11</v>
      </c>
      <c r="H11" s="7">
        <f>SUM(B19,E18)</f>
        <v>4783.5339013196754</v>
      </c>
    </row>
    <row r="12" spans="1:11" ht="19.5" thickBot="1">
      <c r="A12" s="14" t="s">
        <v>12</v>
      </c>
      <c r="B12" s="3" t="s">
        <v>13</v>
      </c>
      <c r="D12" s="14" t="s">
        <v>12</v>
      </c>
      <c r="E12" s="3" t="s">
        <v>14</v>
      </c>
      <c r="G12" s="16" t="s">
        <v>3</v>
      </c>
      <c r="H12" s="9">
        <f>SUMPRODUCT(B11:E11,B9:E9)/SUM(B9,E9)</f>
        <v>9.375E-2</v>
      </c>
    </row>
    <row r="13" spans="1:11">
      <c r="A13" s="14" t="s">
        <v>15</v>
      </c>
      <c r="B13" s="3" t="s">
        <v>16</v>
      </c>
      <c r="D13" s="14"/>
      <c r="E13" s="17"/>
    </row>
    <row r="14" spans="1:11">
      <c r="A14" s="14"/>
      <c r="B14" s="17"/>
      <c r="D14" s="14" t="s">
        <v>17</v>
      </c>
      <c r="E14" s="5">
        <f>IF(E12="10 Year",(PMT(E11/12,120,-1*E9,0,0)),IF(E12="15 Year",(PMT(E11/12,180,-1*E9,0,0)),IF(E12="20 Year",(PMT(E11/12,240,-1*E9,0,0)),IF(E12="30 Year",(PMT(E11/12,360,-1*E9,0,0))))))</f>
        <v>717.35474201293675</v>
      </c>
    </row>
    <row r="15" spans="1:11">
      <c r="A15" s="14" t="s">
        <v>17</v>
      </c>
      <c r="B15" s="5">
        <f>IF(B13="Yes",((B9*B11)/12),IF(B12="30 Year",(PMT(B11/12,360,-1*B9,0,0)),IF(B12="40 Year",(PMT(B11/12,480,-1*B9,0,0)))))</f>
        <v>2816.1791593067392</v>
      </c>
      <c r="D15" s="14" t="s">
        <v>18</v>
      </c>
      <c r="E15" s="1"/>
    </row>
    <row r="16" spans="1:11">
      <c r="A16" s="14" t="s">
        <v>18</v>
      </c>
      <c r="B16" s="1">
        <v>450</v>
      </c>
      <c r="D16" s="14" t="s">
        <v>19</v>
      </c>
      <c r="E16" s="1">
        <v>200</v>
      </c>
    </row>
    <row r="17" spans="1:5">
      <c r="A17" s="14" t="s">
        <v>19</v>
      </c>
      <c r="B17" s="1">
        <v>200</v>
      </c>
      <c r="D17" s="14" t="s">
        <v>20</v>
      </c>
      <c r="E17" s="1">
        <v>200</v>
      </c>
    </row>
    <row r="18" spans="1:5" ht="15.75" thickBot="1">
      <c r="A18" s="14" t="s">
        <v>20</v>
      </c>
      <c r="B18" s="1">
        <v>200</v>
      </c>
      <c r="D18" s="18" t="s">
        <v>21</v>
      </c>
      <c r="E18" s="6">
        <f>SUM(E14:E17)</f>
        <v>1117.3547420129366</v>
      </c>
    </row>
    <row r="19" spans="1:5" ht="15.75" thickBot="1">
      <c r="A19" s="18" t="s">
        <v>21</v>
      </c>
      <c r="B19" s="6">
        <f>SUM(B15:B18)</f>
        <v>3666.1791593067392</v>
      </c>
    </row>
    <row r="21" spans="1:5">
      <c r="B21" s="19"/>
    </row>
  </sheetData>
  <sheetProtection algorithmName="SHA-512" hashValue="5So6NMVJo/s+8ssKaOWauLklmytztw3jlmuYVqDvtK3APBVPGz38RpjozMAnoHzZtCpg5qR1a7kW683G4+YwZA==" saltValue="jCf6ZvUtkcwBI3E8AUwI9g==" spinCount="100000" sheet="1" objects="1" scenarios="1" selectLockedCells="1"/>
  <mergeCells count="2">
    <mergeCell ref="A1:C6"/>
    <mergeCell ref="D1:E6"/>
  </mergeCells>
  <dataValidations count="3">
    <dataValidation type="list" allowBlank="1" showInputMessage="1" showErrorMessage="1" sqref="B13" xr:uid="{BFEF00B7-C264-4E3E-9B12-21F04CFA9B92}">
      <formula1>"Yes, No"</formula1>
    </dataValidation>
    <dataValidation type="list" allowBlank="1" showInputMessage="1" showErrorMessage="1" sqref="B12" xr:uid="{FDE6B578-8F45-4E29-9B2F-B27347859A08}">
      <formula1>"30 Year, 40 Year"</formula1>
    </dataValidation>
    <dataValidation type="list" allowBlank="1" showInputMessage="1" showErrorMessage="1" sqref="E12" xr:uid="{1E093766-FB92-41DC-9ACB-3C9A1DC10083}">
      <formula1>"10 Year, 15 Year, 20 Year, 30 Year"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8A9A8C99FC1468382F79F179FD3FE" ma:contentTypeVersion="11" ma:contentTypeDescription="Create a new document." ma:contentTypeScope="" ma:versionID="f1676953ab83c5bc6394986f3f7582aa">
  <xsd:schema xmlns:xsd="http://www.w3.org/2001/XMLSchema" xmlns:xs="http://www.w3.org/2001/XMLSchema" xmlns:p="http://schemas.microsoft.com/office/2006/metadata/properties" xmlns:ns2="bf0bdc08-0cab-4766-95b8-85cd8af7127d" xmlns:ns3="42d7a6eb-ae11-48dd-acee-f79119a171df" targetNamespace="http://schemas.microsoft.com/office/2006/metadata/properties" ma:root="true" ma:fieldsID="d1c1573a4e6bf6b358269a84872f82dc" ns2:_="" ns3:_="">
    <xsd:import namespace="bf0bdc08-0cab-4766-95b8-85cd8af7127d"/>
    <xsd:import namespace="42d7a6eb-ae11-48dd-acee-f79119a17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0bdc08-0cab-4766-95b8-85cd8af7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2d52383-15bf-4bd2-804d-e79be8fef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7a6eb-ae11-48dd-acee-f79119a171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4033a25-1393-4608-8b70-606856013269}" ma:internalName="TaxCatchAll" ma:showField="CatchAllData" ma:web="42d7a6eb-ae11-48dd-acee-f79119a17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0bdc08-0cab-4766-95b8-85cd8af7127d">
      <Terms xmlns="http://schemas.microsoft.com/office/infopath/2007/PartnerControls"/>
    </lcf76f155ced4ddcb4097134ff3c332f>
    <TaxCatchAll xmlns="42d7a6eb-ae11-48dd-acee-f79119a171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49A5E7-437E-44E8-A09C-845459F04BB5}"/>
</file>

<file path=customXml/itemProps2.xml><?xml version="1.0" encoding="utf-8"?>
<ds:datastoreItem xmlns:ds="http://schemas.openxmlformats.org/officeDocument/2006/customXml" ds:itemID="{00074AAB-C30E-48E0-B8EC-A18B5FAA7195}"/>
</file>

<file path=customXml/itemProps3.xml><?xml version="1.0" encoding="utf-8"?>
<ds:datastoreItem xmlns:ds="http://schemas.openxmlformats.org/officeDocument/2006/customXml" ds:itemID="{927E8629-598E-4BD3-A548-210B8CCE8B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 Emslander</dc:creator>
  <cp:keywords/>
  <dc:description/>
  <cp:lastModifiedBy>Travon Knight</cp:lastModifiedBy>
  <cp:revision/>
  <dcterms:created xsi:type="dcterms:W3CDTF">2023-11-22T18:45:57Z</dcterms:created>
  <dcterms:modified xsi:type="dcterms:W3CDTF">2026-04-22T15:30:10Z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0x01010044A8A9A8C99FC1468382F79F179FD3FE</vt:lpwstr>
  </property>
  <property fmtid="{D5CDD505-2E9C-101B-9397-08002B2CF9AE}" pid="3" name="MediaServiceImageTags">
    <vt:lpwstr/>
  </property>
</Properties>
</file>